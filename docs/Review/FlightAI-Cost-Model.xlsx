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mily Edition" sheetId="1" state="visible" r:id="rId3"/>
    <sheet name="Assumptions" sheetId="2" state="visible" r:id="rId4"/>
    <sheet name="Unit Economics" sheetId="3" state="visible" r:id="rId5"/>
    <sheet name="Monthly Costs" sheetId="4" state="visible" r:id="rId6"/>
    <sheet name="At-Start One-off" sheetId="5" state="visible" r:id="rId7"/>
    <sheet name="Startup Credi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<sst xmlns="http://schemas.openxmlformats.org/spreadsheetml/2006/main" count="159" uniqueCount="146">
  <si>
    <t xml:space="preserve">FAMILY EDITION — build it for 2-10 people (the active plan)</t>
  </si>
  <si>
    <t xml:space="preserve">Private family tool. Almost everything is free-tier or pennies. No team, no legal, no deposits.</t>
  </si>
  <si>
    <t xml:space="preserve">Item</t>
  </si>
  <si>
    <t xml:space="preserve">Monthly $</t>
  </si>
  <si>
    <t xml:space="preserve">Note</t>
  </si>
  <si>
    <t xml:space="preserve">Hosting (Vercel free tier)</t>
  </si>
  <si>
    <t xml:space="preserve">Free for a small private app</t>
  </si>
  <si>
    <t xml:space="preserve">Database (Neon / Supabase free)</t>
  </si>
  <si>
    <t xml:space="preserve">Serverless Postgres free tier</t>
  </si>
  <si>
    <t xml:space="preserve">Auth (Clerk free tier)</t>
  </si>
  <si>
    <t xml:space="preserve">Free well beyond 10 users</t>
  </si>
  <si>
    <t xml:space="preserve">AI (Claude API, family usage)</t>
  </si>
  <si>
    <t xml:space="preserve">Pennies per search; ~$1-5/mo realistic</t>
  </si>
  <si>
    <t xml:space="preserve">Flight data (Duffel sandbox / pay-per-use)</t>
  </si>
  <si>
    <t xml:space="preserve">Free to test; pay only if you book</t>
  </si>
  <si>
    <t xml:space="preserve">Monitoring (Sentry free)</t>
  </si>
  <si>
    <t xml:space="preserve">Free tier</t>
  </si>
  <si>
    <t xml:space="preserve">Domain (optional, ~$12/yr)</t>
  </si>
  <si>
    <t xml:space="preserve">Optional</t>
  </si>
  <si>
    <t xml:space="preserve">TOTAL monthly (Family Edition)</t>
  </si>
  <si>
    <t xml:space="preserve">vs. $70k-380k to HIRE A TEAM for the public platform</t>
  </si>
  <si>
    <t xml:space="preserve">To build: your own time (evenings/weekends)</t>
  </si>
  <si>
    <t xml:space="preserve">$0 in wages — you build it</t>
  </si>
  <si>
    <t xml:space="preserve">One-off legal / deposits</t>
  </si>
  <si>
    <t xml:space="preserve">None — private family use is not a public service</t>
  </si>
  <si>
    <t xml:space="preserve">The other sheets = SCALE EDITION (only if you grow it public later).</t>
  </si>
  <si>
    <t xml:space="preserve">FlightAI — Cost Model &amp; Unit Economics</t>
  </si>
  <si>
    <t xml:space="preserve">All blue cells are inputs you can change. Yellow = key levers. Figures are 2026 planning estimates (USD) — verify live.</t>
  </si>
  <si>
    <t xml:space="preserve">ASSUMPTIONS (edit the blue values)</t>
  </si>
  <si>
    <t xml:space="preserve">Value</t>
  </si>
  <si>
    <t xml:space="preserve">Note / source</t>
  </si>
  <si>
    <t xml:space="preserve">Revenue — affiliate commission per booked trip</t>
  </si>
  <si>
    <t xml:space="preserve">Provisional; verify with provider (Duffel/Kiwi/aggregator)</t>
  </si>
  <si>
    <t xml:space="preserve">Booking conversion rate (search → booking)</t>
  </si>
  <si>
    <t xml:space="preserve">UNPROVEN — key sensitivity. Stored as fraction.</t>
  </si>
  <si>
    <t xml:space="preserve">Searches per active user per month</t>
  </si>
  <si>
    <t xml:space="preserve">Assumption; tune from real usage</t>
  </si>
  <si>
    <t xml:space="preserve">Provider search calls per search — NAIVE fan-out</t>
  </si>
  <si>
    <t xml:space="preserve">Date grid x airports x providers</t>
  </si>
  <si>
    <t xml:space="preserve">Provider search calls per search — OPTIMIZED</t>
  </si>
  <si>
    <t xml:space="preserve">Native flexible endpoints + cache (ADR-0007)</t>
  </si>
  <si>
    <t xml:space="preserve">Provider cost per search call</t>
  </si>
  <si>
    <t xml:space="preserve">Duffel excess-search fee past 1,500:1 ratio</t>
  </si>
  <si>
    <t xml:space="preserve">LLM cost per search</t>
  </si>
  <si>
    <t xml:space="preserve">1 intake (Haiku) + 1 explanation (Sonnet), cached</t>
  </si>
  <si>
    <t xml:space="preserve">Infra cost per search</t>
  </si>
  <si>
    <t xml:space="preserve">Compute + snapshot storage (ADR-0009)</t>
  </si>
  <si>
    <t xml:space="preserve">Duffel cost per confirmed order</t>
  </si>
  <si>
    <t xml:space="preserve">If booking via Duffel (not pure affiliate)</t>
  </si>
  <si>
    <t xml:space="preserve">Duffel managed-content % of order value</t>
  </si>
  <si>
    <t xml:space="preserve">+1% of order; stored as fraction</t>
  </si>
  <si>
    <t xml:space="preserve">Average order value</t>
  </si>
  <si>
    <t xml:space="preserve">Illustrative round-trip fare</t>
  </si>
  <si>
    <t xml:space="preserve">Phase B — monthly active users (beta)</t>
  </si>
  <si>
    <t xml:space="preserve">Scenario</t>
  </si>
  <si>
    <t xml:space="preserve">Phase C — monthly active users (growth)</t>
  </si>
  <si>
    <t xml:space="preserve">Unit Economics — per search &amp; per booking</t>
  </si>
  <si>
    <t xml:space="preserve">Green = pulled from Assumptions. Black = computed. This is the make-or-break math (business model §2a).</t>
  </si>
  <si>
    <t xml:space="preserve">PER SEARCH</t>
  </si>
  <si>
    <t xml:space="preserve">Metric</t>
  </si>
  <si>
    <t xml:space="preserve">Formula / note</t>
  </si>
  <si>
    <t xml:space="preserve">Revenue per search</t>
  </si>
  <si>
    <t xml:space="preserve">commission x conversion rate</t>
  </si>
  <si>
    <t xml:space="preserve">Provider search cost — OPTIMIZED</t>
  </si>
  <si>
    <t xml:space="preserve">optimized calls x cost/call</t>
  </si>
  <si>
    <t xml:space="preserve">Provider search cost — NAIVE</t>
  </si>
  <si>
    <t xml:space="preserve">naive calls x cost/call (the danger)</t>
  </si>
  <si>
    <t xml:space="preserve">Total cost per search — OPTIMIZED</t>
  </si>
  <si>
    <t xml:space="preserve">Total cost per search — NAIVE</t>
  </si>
  <si>
    <t xml:space="preserve">Gross margin per search — OPTIMIZED</t>
  </si>
  <si>
    <t xml:space="preserve">Gross margin per search — NAIVE</t>
  </si>
  <si>
    <t xml:space="preserve">Break-even provider calls per search</t>
  </si>
  <si>
    <t xml:space="preserve">Max provider calls before margin goes negative</t>
  </si>
  <si>
    <t xml:space="preserve">PER BOOKING</t>
  </si>
  <si>
    <t xml:space="preserve">Affiliate model — our booking cost</t>
  </si>
  <si>
    <t xml:space="preserve">Affiliate handoff = no ticketing cost/PCI (ADR-0003)</t>
  </si>
  <si>
    <t xml:space="preserve">If booking via Duffel — cost per order</t>
  </si>
  <si>
    <t xml:space="preserve">$3 + 1% x AOV + ancillaries</t>
  </si>
  <si>
    <t xml:space="preserve">Monthly Software / Service Costs by Phase</t>
  </si>
  <si>
    <t xml:space="preserve">Representative monthly USD. Usage-based rows are formula-driven from Assumptions/Unit Economics. Fixed rows are blue estimates.</t>
  </si>
  <si>
    <t xml:space="preserve">Category</t>
  </si>
  <si>
    <t xml:space="preserve">Phase A: MVP build</t>
  </si>
  <si>
    <t xml:space="preserve">Phase B: Beta</t>
  </si>
  <si>
    <t xml:space="preserve">Phase C: Growth</t>
  </si>
  <si>
    <t xml:space="preserve">— Monthly searches (derived)</t>
  </si>
  <si>
    <t xml:space="preserve">MAU x searches/user</t>
  </si>
  <si>
    <t xml:space="preserve">Cloud compute + data (AWS)</t>
  </si>
  <si>
    <t xml:space="preserve">Credit-offset in A/B (AWS Activate)</t>
  </si>
  <si>
    <t xml:space="preserve">Auth (Clerk -&gt; Ory)</t>
  </si>
  <si>
    <t xml:space="preserve">Free &lt;50k MRU; Clerk ~$1,025 at 100k, or self-host Ory</t>
  </si>
  <si>
    <t xml:space="preserve">Monitoring + logging (Grafana + Sentry)</t>
  </si>
  <si>
    <t xml:space="preserve">Free tier early; scales with series/GB</t>
  </si>
  <si>
    <t xml:space="preserve">Frontend host (Vercel)</t>
  </si>
  <si>
    <t xml:space="preserve">Or self-host on AWS at scale</t>
  </si>
  <si>
    <t xml:space="preserve">CI/CD (GitHub Actions)</t>
  </si>
  <si>
    <t xml:space="preserve">Free minutes early; self-host runners for heavy jobs</t>
  </si>
  <si>
    <t xml:space="preserve">Email / collaboration</t>
  </si>
  <si>
    <t xml:space="preserve">Google Workspace per seat</t>
  </si>
  <si>
    <t xml:space="preserve">Flight-API search cost (usage)</t>
  </si>
  <si>
    <t xml:space="preserve">searches x optimized provider cost/search</t>
  </si>
  <si>
    <t xml:space="preserve">LLM cost (usage)</t>
  </si>
  <si>
    <t xml:space="preserve">Phase A = dev/testing estimate; B/C = searches x LLM/search</t>
  </si>
  <si>
    <t xml:space="preserve">TOTAL software/service (excl. salaries)</t>
  </si>
  <si>
    <t xml:space="preserve">Excludes salaries (the dominant cost) and one-off at-start costs</t>
  </si>
  <si>
    <t xml:space="preserve">Bookings / month (derived)</t>
  </si>
  <si>
    <t xml:space="preserve">For revenue side; searches x conversion</t>
  </si>
  <si>
    <t xml:space="preserve">At-Start &amp; One-off Costs (pre-launch)</t>
  </si>
  <si>
    <t xml:space="preserve">The cash costs that actually exist at the beginning. Blue = editable estimate.</t>
  </si>
  <si>
    <t xml:space="preserve">Low</t>
  </si>
  <si>
    <t xml:space="preserve">High</t>
  </si>
  <si>
    <t xml:space="preserve">Legal — provider ToS, GDPR DPIA, seller-of-travel</t>
  </si>
  <si>
    <t xml:space="preserve">Gated by due-diligence spike; needed before launch</t>
  </si>
  <si>
    <t xml:space="preserve">Business setup — incorporation, accounting</t>
  </si>
  <si>
    <t xml:space="preserve">Jurisdiction-dependent</t>
  </si>
  <si>
    <t xml:space="preserve">Flight-provider deposit / minimums (if GDS Enterprise)</t>
  </si>
  <si>
    <t xml:space="preserve">BIG UNKNOWN — pin down in spike (R1/R22)</t>
  </si>
  <si>
    <t xml:space="preserve">Domain (annual)</t>
  </si>
  <si>
    <t xml:space="preserve">One-off-ish</t>
  </si>
  <si>
    <t xml:space="preserve">Wizard-of-Oz validation (optional)</t>
  </si>
  <si>
    <t xml:space="preserve">Real bookings + time; de-risks the business</t>
  </si>
  <si>
    <t xml:space="preserve">Design / branding (optional)</t>
  </si>
  <si>
    <t xml:space="preserve">Can defer</t>
  </si>
  <si>
    <t xml:space="preserve">TOTAL one-off (excl. salaries)</t>
  </si>
  <si>
    <t xml:space="preserve">Recurring software at start (from Monthly Costs, Phase A)</t>
  </si>
  <si>
    <t xml:space="preserve">Per month; largely free-tier / credit-offset</t>
  </si>
  <si>
    <t xml:space="preserve">NOTE: People (salaries) are the dominant cost and are excluded here.</t>
  </si>
  <si>
    <t xml:space="preserve">Startup Credits — make the beginning nearly free</t>
  </si>
  <si>
    <t xml:space="preserve">Program</t>
  </si>
  <si>
    <t xml:space="preserve">AWS Activate Founders</t>
  </si>
  <si>
    <t xml:space="preserve">$1,000</t>
  </si>
  <si>
    <t xml:space="preserve">Self-serve, any founder</t>
  </si>
  <si>
    <t xml:space="preserve">AWS Activate Builders</t>
  </si>
  <si>
    <t xml:space="preserve">$1,000–$5,000</t>
  </si>
  <si>
    <t xml:space="preserve">Direct application</t>
  </si>
  <si>
    <t xml:space="preserve">AWS Activate Portfolio</t>
  </si>
  <si>
    <t xml:space="preserve">$25,000–$100,000</t>
  </si>
  <si>
    <t xml:space="preserve">Via accelerator/VC</t>
  </si>
  <si>
    <t xml:space="preserve">AWS Activate GenAI</t>
  </si>
  <si>
    <t xml:space="preserve">up to $300,000</t>
  </si>
  <si>
    <t xml:space="preserve">Bedrock/SageMaker — covers Claude-on-Bedrock</t>
  </si>
  <si>
    <t xml:space="preserve">Anthropic / OpenAI startup programs</t>
  </si>
  <si>
    <t xml:space="preserve">varies</t>
  </si>
  <si>
    <t xml:space="preserve">Apply for LLM credits</t>
  </si>
  <si>
    <t xml:space="preserve">Sentry / Stripe / others</t>
  </si>
  <si>
    <t xml:space="preserve">free/discounted tiers</t>
  </si>
  <si>
    <t xml:space="preserve">Stack them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</si>
</sst>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#,##0"/>
    <numFmt numFmtId="168" formatCode="\$#,##0.000;&quot;($&quot;#,##0.000\);\-"/>
    <numFmt numFmtId="169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v>0</v>
      </c>
      <c r="C6" s="2" t="s">
        <v>8</v>
      </c>
    </row>
    <row r="7" customFormat="false" ht="15" hidden="false" customHeight="false" outlineLevel="0" collapsed="false">
      <c r="A7" s="4" t="s">
        <v>9</v>
      </c>
      <c r="B7" s="5" t="n">
        <v>0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v>3</v>
      </c>
      <c r="C8" s="2" t="s">
        <v>12</v>
      </c>
    </row>
    <row r="9" customFormat="false" ht="15" hidden="false" customHeight="false" outlineLevel="0" collapsed="false">
      <c r="A9" s="4" t="s">
        <v>13</v>
      </c>
      <c r="B9" s="5" t="n">
        <v>0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5" t="n">
        <v>0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 t="n">
        <v>1</v>
      </c>
      <c r="C11" s="2" t="s">
        <v>18</v>
      </c>
    </row>
    <row r="12" customFormat="false" ht="15" hidden="false" customHeight="false" outlineLevel="0" collapsed="false">
      <c r="A12" s="6" t="s">
        <v>19</v>
      </c>
      <c r="B12" s="7" t="n">
        <f aca="false">SUM(B5:B11)</f>
        <v>4</v>
      </c>
      <c r="C12" s="2" t="s">
        <v>20</v>
      </c>
    </row>
    <row r="14" customFormat="false" ht="15" hidden="false" customHeight="false" outlineLevel="0" collapsed="false">
      <c r="A14" s="4" t="s">
        <v>21</v>
      </c>
      <c r="B14" s="8" t="n">
        <v>0</v>
      </c>
      <c r="C14" s="2" t="s">
        <v>22</v>
      </c>
    </row>
    <row r="15" customFormat="false" ht="15" hidden="false" customHeight="false" outlineLevel="0" collapsed="false">
      <c r="A15" s="4" t="s">
        <v>23</v>
      </c>
      <c r="B15" s="8" t="n">
        <v>0</v>
      </c>
      <c r="C15" s="2" t="s">
        <v>24</v>
      </c>
    </row>
    <row r="17" customFormat="false" ht="15" hidden="false" customHeight="false" outlineLevel="0" collapsed="false">
      <c r="A17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10" t="s">
        <v>28</v>
      </c>
      <c r="B4" s="11"/>
      <c r="C4" s="11"/>
    </row>
    <row r="5" customFormat="false" ht="15" hidden="false" customHeight="false" outlineLevel="0" collapsed="false">
      <c r="A5" s="3" t="s">
        <v>2</v>
      </c>
      <c r="B5" s="3" t="s">
        <v>29</v>
      </c>
      <c r="C5" s="3" t="s">
        <v>30</v>
      </c>
    </row>
    <row r="6" customFormat="false" ht="15" hidden="false" customHeight="false" outlineLevel="0" collapsed="false">
      <c r="A6" s="4" t="s">
        <v>31</v>
      </c>
      <c r="B6" s="12" t="n">
        <v>10</v>
      </c>
      <c r="C6" s="2" t="s">
        <v>32</v>
      </c>
    </row>
    <row r="7" customFormat="false" ht="15" hidden="false" customHeight="false" outlineLevel="0" collapsed="false">
      <c r="A7" s="4" t="s">
        <v>33</v>
      </c>
      <c r="B7" s="13" t="n">
        <v>0.02</v>
      </c>
      <c r="C7" s="2" t="s">
        <v>34</v>
      </c>
    </row>
    <row r="8" customFormat="false" ht="15" hidden="false" customHeight="false" outlineLevel="0" collapsed="false">
      <c r="A8" s="4" t="s">
        <v>35</v>
      </c>
      <c r="B8" s="14" t="n">
        <v>8</v>
      </c>
      <c r="C8" s="2" t="s">
        <v>36</v>
      </c>
    </row>
    <row r="9" customFormat="false" ht="15" hidden="false" customHeight="false" outlineLevel="0" collapsed="false">
      <c r="A9" s="4" t="s">
        <v>37</v>
      </c>
      <c r="B9" s="15" t="n">
        <v>40</v>
      </c>
      <c r="C9" s="2" t="s">
        <v>38</v>
      </c>
    </row>
    <row r="10" customFormat="false" ht="15" hidden="false" customHeight="false" outlineLevel="0" collapsed="false">
      <c r="A10" s="4" t="s">
        <v>39</v>
      </c>
      <c r="B10" s="15" t="n">
        <v>6</v>
      </c>
      <c r="C10" s="2" t="s">
        <v>40</v>
      </c>
    </row>
    <row r="11" customFormat="false" ht="15" hidden="false" customHeight="false" outlineLevel="0" collapsed="false">
      <c r="A11" s="4" t="s">
        <v>41</v>
      </c>
      <c r="B11" s="16" t="n">
        <v>0.005</v>
      </c>
      <c r="C11" s="2" t="s">
        <v>42</v>
      </c>
    </row>
    <row r="12" customFormat="false" ht="15" hidden="false" customHeight="false" outlineLevel="0" collapsed="false">
      <c r="A12" s="4" t="s">
        <v>43</v>
      </c>
      <c r="B12" s="16" t="n">
        <v>0.02</v>
      </c>
      <c r="C12" s="2" t="s">
        <v>44</v>
      </c>
    </row>
    <row r="13" customFormat="false" ht="15" hidden="false" customHeight="false" outlineLevel="0" collapsed="false">
      <c r="A13" s="4" t="s">
        <v>45</v>
      </c>
      <c r="B13" s="17" t="n">
        <v>0.005</v>
      </c>
      <c r="C13" s="2" t="s">
        <v>46</v>
      </c>
    </row>
    <row r="14" customFormat="false" ht="15" hidden="false" customHeight="false" outlineLevel="0" collapsed="false">
      <c r="A14" s="4" t="s">
        <v>47</v>
      </c>
      <c r="B14" s="5" t="n">
        <v>3</v>
      </c>
      <c r="C14" s="2" t="s">
        <v>48</v>
      </c>
    </row>
    <row r="15" customFormat="false" ht="15" hidden="false" customHeight="false" outlineLevel="0" collapsed="false">
      <c r="A15" s="4" t="s">
        <v>49</v>
      </c>
      <c r="B15" s="18" t="n">
        <v>0.01</v>
      </c>
      <c r="C15" s="2" t="s">
        <v>50</v>
      </c>
    </row>
    <row r="16" customFormat="false" ht="15" hidden="false" customHeight="false" outlineLevel="0" collapsed="false">
      <c r="A16" s="4" t="s">
        <v>51</v>
      </c>
      <c r="B16" s="5" t="n">
        <v>300</v>
      </c>
      <c r="C16" s="2" t="s">
        <v>52</v>
      </c>
    </row>
    <row r="17" customFormat="false" ht="15" hidden="false" customHeight="false" outlineLevel="0" collapsed="false">
      <c r="A17" s="4" t="s">
        <v>53</v>
      </c>
      <c r="B17" s="15" t="n">
        <v>5000</v>
      </c>
      <c r="C17" s="2" t="s">
        <v>54</v>
      </c>
    </row>
    <row r="18" customFormat="false" ht="15" hidden="false" customHeight="false" outlineLevel="0" collapsed="false">
      <c r="A18" s="4" t="s">
        <v>55</v>
      </c>
      <c r="B18" s="15" t="n">
        <v>100000</v>
      </c>
      <c r="C18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10" t="s">
        <v>58</v>
      </c>
      <c r="B4" s="11"/>
      <c r="C4" s="11"/>
    </row>
    <row r="5" customFormat="false" ht="15" hidden="false" customHeight="false" outlineLevel="0" collapsed="false">
      <c r="A5" s="3" t="s">
        <v>59</v>
      </c>
      <c r="B5" s="3" t="s">
        <v>29</v>
      </c>
      <c r="C5" s="3" t="s">
        <v>60</v>
      </c>
    </row>
    <row r="6" customFormat="false" ht="15" hidden="false" customHeight="false" outlineLevel="0" collapsed="false">
      <c r="A6" s="4" t="s">
        <v>61</v>
      </c>
      <c r="B6" s="19" t="n">
        <f aca="false">Assumptions!$B$6*Assumptions!$B$7</f>
        <v>0.2</v>
      </c>
      <c r="C6" s="2" t="s">
        <v>62</v>
      </c>
    </row>
    <row r="7" customFormat="false" ht="15" hidden="false" customHeight="false" outlineLevel="0" collapsed="false">
      <c r="A7" s="4" t="s">
        <v>63</v>
      </c>
      <c r="B7" s="19" t="n">
        <f aca="false">Assumptions!$B$10*Assumptions!$B$11</f>
        <v>0.03</v>
      </c>
      <c r="C7" s="2" t="s">
        <v>64</v>
      </c>
    </row>
    <row r="8" customFormat="false" ht="15" hidden="false" customHeight="false" outlineLevel="0" collapsed="false">
      <c r="A8" s="4" t="s">
        <v>65</v>
      </c>
      <c r="B8" s="19" t="n">
        <f aca="false">Assumptions!$B$9*Assumptions!$B$11</f>
        <v>0.2</v>
      </c>
      <c r="C8" s="2" t="s">
        <v>66</v>
      </c>
    </row>
    <row r="9" customFormat="false" ht="15" hidden="false" customHeight="false" outlineLevel="0" collapsed="false">
      <c r="A9" s="4" t="s">
        <v>43</v>
      </c>
      <c r="B9" s="20" t="n">
        <f aca="false">Assumptions!$B$12</f>
        <v>0.02</v>
      </c>
    </row>
    <row r="10" customFormat="false" ht="15" hidden="false" customHeight="false" outlineLevel="0" collapsed="false">
      <c r="A10" s="4" t="s">
        <v>45</v>
      </c>
      <c r="B10" s="20" t="n">
        <f aca="false">Assumptions!$B$13</f>
        <v>0.005</v>
      </c>
    </row>
    <row r="11" customFormat="false" ht="15" hidden="false" customHeight="false" outlineLevel="0" collapsed="false">
      <c r="A11" s="6" t="s">
        <v>67</v>
      </c>
      <c r="B11" s="21" t="n">
        <f aca="false">B7+B9+B10</f>
        <v>0.055</v>
      </c>
    </row>
    <row r="12" customFormat="false" ht="15" hidden="false" customHeight="false" outlineLevel="0" collapsed="false">
      <c r="A12" s="6" t="s">
        <v>68</v>
      </c>
      <c r="B12" s="21" t="n">
        <f aca="false">B8+B9+B10</f>
        <v>0.225</v>
      </c>
    </row>
    <row r="13" customFormat="false" ht="15" hidden="false" customHeight="false" outlineLevel="0" collapsed="false">
      <c r="A13" s="6" t="s">
        <v>69</v>
      </c>
      <c r="B13" s="22" t="n">
        <f aca="false">B6-B11</f>
        <v>0.145</v>
      </c>
    </row>
    <row r="14" customFormat="false" ht="15" hidden="false" customHeight="false" outlineLevel="0" collapsed="false">
      <c r="A14" s="6" t="s">
        <v>70</v>
      </c>
      <c r="B14" s="22" t="n">
        <f aca="false">B6-B12</f>
        <v>-0.025</v>
      </c>
    </row>
    <row r="15" customFormat="false" ht="15" hidden="false" customHeight="false" outlineLevel="0" collapsed="false">
      <c r="A15" s="4" t="s">
        <v>71</v>
      </c>
      <c r="B15" s="23" t="n">
        <f aca="false">IFERROR((B6-B9-B10)/Assumptions!$B$11,0)</f>
        <v>35</v>
      </c>
      <c r="C15" s="2" t="s">
        <v>72</v>
      </c>
    </row>
    <row r="17" customFormat="false" ht="15" hidden="false" customHeight="false" outlineLevel="0" collapsed="false">
      <c r="A17" s="10" t="s">
        <v>73</v>
      </c>
      <c r="B17" s="11"/>
      <c r="C17" s="11"/>
    </row>
    <row r="18" customFormat="false" ht="15" hidden="false" customHeight="false" outlineLevel="0" collapsed="false">
      <c r="A18" s="3" t="s">
        <v>59</v>
      </c>
      <c r="B18" s="3" t="s">
        <v>29</v>
      </c>
      <c r="C18" s="3" t="s">
        <v>4</v>
      </c>
    </row>
    <row r="19" customFormat="false" ht="15" hidden="false" customHeight="false" outlineLevel="0" collapsed="false">
      <c r="A19" s="4" t="s">
        <v>74</v>
      </c>
      <c r="B19" s="24" t="n">
        <v>0</v>
      </c>
      <c r="C19" s="2" t="s">
        <v>75</v>
      </c>
    </row>
    <row r="20" customFormat="false" ht="15" hidden="false" customHeight="false" outlineLevel="0" collapsed="false">
      <c r="A20" s="4" t="s">
        <v>76</v>
      </c>
      <c r="B20" s="24" t="n">
        <f aca="false">Assumptions!$B$14+Assumptions!$B$15*Assumptions!$B$16</f>
        <v>6</v>
      </c>
      <c r="C20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4</v>
      </c>
    </row>
    <row r="5" customFormat="false" ht="15" hidden="false" customHeight="false" outlineLevel="0" collapsed="false">
      <c r="A5" s="6" t="s">
        <v>84</v>
      </c>
      <c r="B5" s="25" t="n">
        <v>0</v>
      </c>
      <c r="C5" s="25" t="n">
        <f aca="false">Assumptions!$B$17*Assumptions!$B$8</f>
        <v>40000</v>
      </c>
      <c r="D5" s="25" t="n">
        <f aca="false">Assumptions!$B$18*Assumptions!$B$8</f>
        <v>800000</v>
      </c>
      <c r="E5" s="2" t="s">
        <v>85</v>
      </c>
    </row>
    <row r="6" customFormat="false" ht="15" hidden="false" customHeight="false" outlineLevel="0" collapsed="false">
      <c r="A6" s="4" t="s">
        <v>86</v>
      </c>
      <c r="B6" s="5" t="n">
        <v>200</v>
      </c>
      <c r="C6" s="5" t="n">
        <v>900</v>
      </c>
      <c r="D6" s="5" t="n">
        <v>8000</v>
      </c>
      <c r="E6" s="2" t="s">
        <v>87</v>
      </c>
    </row>
    <row r="7" customFormat="false" ht="15" hidden="false" customHeight="false" outlineLevel="0" collapsed="false">
      <c r="A7" s="4" t="s">
        <v>88</v>
      </c>
      <c r="B7" s="5" t="n">
        <v>0</v>
      </c>
      <c r="C7" s="5" t="n">
        <v>0</v>
      </c>
      <c r="D7" s="5" t="n">
        <v>1025</v>
      </c>
      <c r="E7" s="2" t="s">
        <v>89</v>
      </c>
    </row>
    <row r="8" customFormat="false" ht="15" hidden="false" customHeight="false" outlineLevel="0" collapsed="false">
      <c r="A8" s="4" t="s">
        <v>90</v>
      </c>
      <c r="B8" s="5" t="n">
        <v>0</v>
      </c>
      <c r="C8" s="5" t="n">
        <v>75</v>
      </c>
      <c r="D8" s="5" t="n">
        <v>2000</v>
      </c>
      <c r="E8" s="2" t="s">
        <v>91</v>
      </c>
    </row>
    <row r="9" customFormat="false" ht="15" hidden="false" customHeight="false" outlineLevel="0" collapsed="false">
      <c r="A9" s="4" t="s">
        <v>92</v>
      </c>
      <c r="B9" s="5" t="n">
        <v>10</v>
      </c>
      <c r="C9" s="5" t="n">
        <v>80</v>
      </c>
      <c r="D9" s="5" t="n">
        <v>500</v>
      </c>
      <c r="E9" s="2" t="s">
        <v>93</v>
      </c>
    </row>
    <row r="10" customFormat="false" ht="15" hidden="false" customHeight="false" outlineLevel="0" collapsed="false">
      <c r="A10" s="4" t="s">
        <v>94</v>
      </c>
      <c r="B10" s="5" t="n">
        <v>6</v>
      </c>
      <c r="C10" s="5" t="n">
        <v>50</v>
      </c>
      <c r="D10" s="5" t="n">
        <v>500</v>
      </c>
      <c r="E10" s="2" t="s">
        <v>95</v>
      </c>
    </row>
    <row r="11" customFormat="false" ht="15" hidden="false" customHeight="false" outlineLevel="0" collapsed="false">
      <c r="A11" s="4" t="s">
        <v>96</v>
      </c>
      <c r="B11" s="5" t="n">
        <v>20</v>
      </c>
      <c r="C11" s="5" t="n">
        <v>90</v>
      </c>
      <c r="D11" s="5" t="n">
        <v>300</v>
      </c>
      <c r="E11" s="2" t="s">
        <v>97</v>
      </c>
    </row>
    <row r="12" customFormat="false" ht="15" hidden="false" customHeight="false" outlineLevel="0" collapsed="false">
      <c r="A12" s="4" t="s">
        <v>98</v>
      </c>
      <c r="B12" s="8" t="n">
        <v>0</v>
      </c>
      <c r="C12" s="8" t="n">
        <f aca="false">C5*'Unit Economics'!$B$7</f>
        <v>1200</v>
      </c>
      <c r="D12" s="8" t="n">
        <f aca="false">D5*'Unit Economics'!$B$7</f>
        <v>24000</v>
      </c>
      <c r="E12" s="2" t="s">
        <v>99</v>
      </c>
    </row>
    <row r="13" customFormat="false" ht="15" hidden="false" customHeight="false" outlineLevel="0" collapsed="false">
      <c r="A13" s="4" t="s">
        <v>100</v>
      </c>
      <c r="B13" s="26" t="n">
        <v>150</v>
      </c>
      <c r="C13" s="8" t="n">
        <f aca="false">C5*'Unit Economics'!$B$9</f>
        <v>800</v>
      </c>
      <c r="D13" s="8" t="n">
        <f aca="false">D5*'Unit Economics'!$B$9</f>
        <v>16000</v>
      </c>
      <c r="E13" s="2" t="s">
        <v>101</v>
      </c>
    </row>
    <row r="14" customFormat="false" ht="15" hidden="false" customHeight="false" outlineLevel="0" collapsed="false">
      <c r="A14" s="6" t="s">
        <v>102</v>
      </c>
      <c r="B14" s="7" t="n">
        <f aca="false">SUM(B6:B11)+B12+B13</f>
        <v>386</v>
      </c>
      <c r="C14" s="7" t="n">
        <f aca="false">SUM(C6:C11)+C12+C13</f>
        <v>3195</v>
      </c>
      <c r="D14" s="7" t="n">
        <f aca="false">SUM(D6:D11)+D12+D13</f>
        <v>52325</v>
      </c>
      <c r="E14" s="2" t="s">
        <v>103</v>
      </c>
    </row>
    <row r="16" customFormat="false" ht="15" hidden="false" customHeight="false" outlineLevel="0" collapsed="false">
      <c r="A16" s="4" t="s">
        <v>104</v>
      </c>
      <c r="B16" s="25" t="n">
        <v>0</v>
      </c>
      <c r="C16" s="25" t="n">
        <f aca="false">C5*Assumptions!$B$7</f>
        <v>800</v>
      </c>
      <c r="D16" s="25" t="n">
        <f aca="false">D5*Assumptions!$B$7</f>
        <v>16000</v>
      </c>
      <c r="E16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2</v>
      </c>
      <c r="B4" s="3" t="s">
        <v>108</v>
      </c>
      <c r="C4" s="3" t="s">
        <v>109</v>
      </c>
      <c r="D4" s="3" t="s">
        <v>4</v>
      </c>
    </row>
    <row r="5" customFormat="false" ht="15" hidden="false" customHeight="false" outlineLevel="0" collapsed="false">
      <c r="A5" s="4" t="s">
        <v>110</v>
      </c>
      <c r="B5" s="5" t="n">
        <v>2000</v>
      </c>
      <c r="C5" s="5" t="n">
        <v>15000</v>
      </c>
      <c r="D5" s="2" t="s">
        <v>111</v>
      </c>
    </row>
    <row r="6" customFormat="false" ht="15" hidden="false" customHeight="false" outlineLevel="0" collapsed="false">
      <c r="A6" s="4" t="s">
        <v>112</v>
      </c>
      <c r="B6" s="5" t="n">
        <v>500</v>
      </c>
      <c r="C6" s="5" t="n">
        <v>3000</v>
      </c>
      <c r="D6" s="2" t="s">
        <v>113</v>
      </c>
    </row>
    <row r="7" customFormat="false" ht="15" hidden="false" customHeight="false" outlineLevel="0" collapsed="false">
      <c r="A7" s="4" t="s">
        <v>114</v>
      </c>
      <c r="B7" s="5" t="n">
        <v>0</v>
      </c>
      <c r="C7" s="5" t="n">
        <v>20000</v>
      </c>
      <c r="D7" s="2" t="s">
        <v>115</v>
      </c>
    </row>
    <row r="8" customFormat="false" ht="15" hidden="false" customHeight="false" outlineLevel="0" collapsed="false">
      <c r="A8" s="4" t="s">
        <v>116</v>
      </c>
      <c r="B8" s="5" t="n">
        <v>12</v>
      </c>
      <c r="C8" s="5" t="n">
        <v>40</v>
      </c>
      <c r="D8" s="2" t="s">
        <v>117</v>
      </c>
    </row>
    <row r="9" customFormat="false" ht="15" hidden="false" customHeight="false" outlineLevel="0" collapsed="false">
      <c r="A9" s="4" t="s">
        <v>118</v>
      </c>
      <c r="B9" s="5" t="n">
        <v>200</v>
      </c>
      <c r="C9" s="5" t="n">
        <v>2000</v>
      </c>
      <c r="D9" s="2" t="s">
        <v>119</v>
      </c>
    </row>
    <row r="10" customFormat="false" ht="15" hidden="false" customHeight="false" outlineLevel="0" collapsed="false">
      <c r="A10" s="4" t="s">
        <v>120</v>
      </c>
      <c r="B10" s="5" t="n">
        <v>0</v>
      </c>
      <c r="C10" s="5" t="n">
        <v>5000</v>
      </c>
      <c r="D10" s="2" t="s">
        <v>121</v>
      </c>
    </row>
    <row r="11" customFormat="false" ht="15" hidden="false" customHeight="false" outlineLevel="0" collapsed="false">
      <c r="A11" s="6" t="s">
        <v>122</v>
      </c>
      <c r="B11" s="7" t="n">
        <f aca="false">SUM(B5:B10)</f>
        <v>2712</v>
      </c>
      <c r="C11" s="7" t="n">
        <f aca="false">SUM(C5:C10)</f>
        <v>45040</v>
      </c>
    </row>
    <row r="13" customFormat="false" ht="15" hidden="false" customHeight="false" outlineLevel="0" collapsed="false">
      <c r="A13" s="4" t="s">
        <v>123</v>
      </c>
      <c r="B13" s="27" t="n">
        <f aca="false">'Monthly Costs'!$B$14</f>
        <v>386</v>
      </c>
      <c r="D13" s="2" t="s">
        <v>124</v>
      </c>
    </row>
    <row r="15" customFormat="false" ht="15" hidden="false" customHeight="false" outlineLevel="0" collapsed="false">
      <c r="A15" s="2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3" t="s">
        <v>127</v>
      </c>
      <c r="B3" s="3" t="s">
        <v>29</v>
      </c>
      <c r="C3" s="3" t="s">
        <v>4</v>
      </c>
    </row>
    <row r="4" customFormat="false" ht="15" hidden="false" customHeight="false" outlineLevel="0" collapsed="false">
      <c r="A4" s="4" t="s">
        <v>128</v>
      </c>
      <c r="B4" s="4" t="s">
        <v>129</v>
      </c>
      <c r="C4" s="2" t="s">
        <v>130</v>
      </c>
    </row>
    <row r="5" customFormat="false" ht="15" hidden="false" customHeight="false" outlineLevel="0" collapsed="false">
      <c r="A5" s="4" t="s">
        <v>131</v>
      </c>
      <c r="B5" s="4" t="s">
        <v>132</v>
      </c>
      <c r="C5" s="2" t="s">
        <v>133</v>
      </c>
    </row>
    <row r="6" customFormat="false" ht="15" hidden="false" customHeight="false" outlineLevel="0" collapsed="false">
      <c r="A6" s="4" t="s">
        <v>134</v>
      </c>
      <c r="B6" s="4" t="s">
        <v>135</v>
      </c>
      <c r="C6" s="2" t="s">
        <v>136</v>
      </c>
    </row>
    <row r="7" customFormat="false" ht="15" hidden="false" customHeight="false" outlineLevel="0" collapsed="false">
      <c r="A7" s="4" t="s">
        <v>137</v>
      </c>
      <c r="B7" s="4" t="s">
        <v>138</v>
      </c>
      <c r="C7" s="2" t="s">
        <v>139</v>
      </c>
    </row>
    <row r="8" customFormat="false" ht="15" hidden="false" customHeight="false" outlineLevel="0" collapsed="false">
      <c r="A8" s="4" t="s">
        <v>140</v>
      </c>
      <c r="B8" s="4" t="s">
        <v>141</v>
      </c>
      <c r="C8" s="2" t="s">
        <v>142</v>
      </c>
    </row>
    <row r="9" customFormat="false" ht="15" hidden="false" customHeight="false" outlineLevel="0" collapsed="false">
      <c r="A9" s="4" t="s">
        <v>143</v>
      </c>
      <c r="B9" s="4" t="s">
        <v>144</v>
      </c>
      <c r="C9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2026-07-22T16:28:06Z</dcterms:created>
  <dc:creator>openpyxl</dc:creator>
  <dc:description/>
  <dc:language>en-US</dc:language>
  <cp:lastModifiedBy/>
  <dcterms:modified xsi:type="dcterms:W3CDTF">2026-07-22T16:28:06Z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